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Клиенты" sheetId="1" state="visible" r:id="rId3"/>
    <sheet name="Сводка" sheetId="2" state="visible" r:id="rId4"/>
    <sheet name="Запасные" sheetId="3" state="visible" r:id="rId5"/>
  </sheets>
  <definedNames>
    <definedName function="false" hidden="true" localSheetId="0" name="_xlnm._FilterDatabase" vbProcedure="false">Клиенты!$A$4:$Q$24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<sst xmlns="http://schemas.openxmlformats.org/spreadsheetml/2006/main" count="326" uniqueCount="222">
  <si>
    <t xml:space="preserve">20 потенциальных клиентов: сайт и/или Telegram-бот (собрано 07.10.2026)</t>
  </si>
  <si>
    <t xml:space="preserve">Отбор: у бизнеса вместо сайта только Taplink, поиск не нашёл своего сайта, есть признаки роста (несколько точек, высокий чек, штат, много отзывов). Перед звонком открой ссылку и проверь контакты — данные из открытых страниц.</t>
  </si>
  <si>
    <t xml:space="preserve">№</t>
  </si>
  <si>
    <t xml:space="preserve">Приоритет</t>
  </si>
  <si>
    <t xml:space="preserve">Бизнес</t>
  </si>
  <si>
    <t xml:space="preserve">Город</t>
  </si>
  <si>
    <t xml:space="preserve">Ниша</t>
  </si>
  <si>
    <t xml:space="preserve">Адрес</t>
  </si>
  <si>
    <t xml:space="preserve">Телефон</t>
  </si>
  <si>
    <t xml:space="preserve">Где сейчас (ссылка)</t>
  </si>
  <si>
    <t xml:space="preserve">Почему есть деньги / рост</t>
  </si>
  <si>
    <t xml:space="preserve">Что продаём</t>
  </si>
  <si>
    <t xml:space="preserve">Конкретное предложение</t>
  </si>
  <si>
    <t xml:space="preserve">Первое сообщение (крючок)</t>
  </si>
  <si>
    <t xml:space="preserve">Бюджет от, ₽</t>
  </si>
  <si>
    <t xml:space="preserve">Бюджет до, ₽</t>
  </si>
  <si>
    <t xml:space="preserve">Статус</t>
  </si>
  <si>
    <t xml:space="preserve">Дата контакта</t>
  </si>
  <si>
    <t xml:space="preserve">Комментарий</t>
  </si>
  <si>
    <t xml:space="preserve">A</t>
  </si>
  <si>
    <t xml:space="preserve">Цветочный дом</t>
  </si>
  <si>
    <t xml:space="preserve">Сочи / Туапсе / Лазаревское</t>
  </si>
  <si>
    <t xml:space="preserve">Цветы: опт + розница</t>
  </si>
  <si>
    <t xml:space="preserve">Сочи: Транспортная, Донская, Московская, Курортный пр-т; Туапсе: К. Маркса, Сочинская; Лазаревское: Калараша 141</t>
  </si>
  <si>
    <t xml:space="preserve">есть на Taplink</t>
  </si>
  <si>
    <t xml:space="preserve">https://taplink.cc/cvetochniy_dom23</t>
  </si>
  <si>
    <t xml:space="preserve">8 магазинов в 3 городах, поставки 4 раза в неделю, называют себя «цветочный №1» — деньги точно есть</t>
  </si>
  <si>
    <t xml:space="preserve">Оба</t>
  </si>
  <si>
    <t xml:space="preserve">Сайт-каталог букетов с ценами и оплатой + ТГ-бот: заказ букета, выбор магазина, доставка, оптовый прайс для флористов</t>
  </si>
  <si>
    <t xml:space="preserve">Покажите, как бот принимает заказ на букет за 1 минуту и отдаёт его в нужный из 8 магазинов</t>
  </si>
  <si>
    <t xml:space="preserve">Не связывался</t>
  </si>
  <si>
    <t xml:space="preserve">Sugar Life Studio</t>
  </si>
  <si>
    <t xml:space="preserve">Санкт-Петербург</t>
  </si>
  <si>
    <t xml:space="preserve">Лазерная эпиляция, LPG, RF-лифтинг</t>
  </si>
  <si>
    <t xml:space="preserve">Несколько точек: пр. Ветеранов, ул. Маршала Жукова и др. (список на Taplink)</t>
  </si>
  <si>
    <t xml:space="preserve">https://taplink.cc/nadi_sugarlife</t>
  </si>
  <si>
    <t xml:space="preserve">Уже несколько филиалов — растут, но всё держится на Taplink</t>
  </si>
  <si>
    <t xml:space="preserve">Сайт с прайсом по зонам и филиалам + ТГ-бот записи с выбором филиала, напоминаниями и абонементами</t>
  </si>
  <si>
    <t xml:space="preserve">У вас несколько точек: бот сам запишет клиента в ближайшую и напомнит о повторной процедуре</t>
  </si>
  <si>
    <t xml:space="preserve">Neplach (specialty-кофейня)</t>
  </si>
  <si>
    <t xml:space="preserve">Москва</t>
  </si>
  <si>
    <t xml:space="preserve">Кофейня, 2 точки</t>
  </si>
  <si>
    <t xml:space="preserve">ул. Красноказарменная и ул. Просторная (2 точки)</t>
  </si>
  <si>
    <t xml:space="preserve">https://taplink.cc/neplach</t>
  </si>
  <si>
    <t xml:space="preserve">Открыли 2-ю точку, уже принимают заказы с доставкой и самовывозом, ведут сообщество</t>
  </si>
  <si>
    <t xml:space="preserve">ТГ-бот (+ лендинг)</t>
  </si>
  <si>
    <t xml:space="preserve">ТГ-бот: предзаказ кофе к выходу, карта лояльности (каждый 6-й кофе), рассылка о событиях; простой лендинг двух точек</t>
  </si>
  <si>
    <t xml:space="preserve">Сделаю бота предзаказа: гость заказывает из метро и забирает без очереди, плюс электронная карта лояльности</t>
  </si>
  <si>
    <t xml:space="preserve">Театральный буфетъ</t>
  </si>
  <si>
    <t xml:space="preserve">Казань</t>
  </si>
  <si>
    <t xml:space="preserve">Ресторан-кондитерская + арт-галерея</t>
  </si>
  <si>
    <t xml:space="preserve">ул. Карла Маркса, 27/11 (особняк)</t>
  </si>
  <si>
    <t xml:space="preserve">+7 (987) 215-70-55</t>
  </si>
  <si>
    <t xml:space="preserve">https://taplink.cc/buffetkazan</t>
  </si>
  <si>
    <t xml:space="preserve">Ресторан в старинном особняке, 125 отзывов и оценка 8.5 — хороший средний чек</t>
  </si>
  <si>
    <t xml:space="preserve">Атмосферный сайт с меню, галереей и бронью столов + ТГ-бот заказа тортов/десертов и анонсов выставок</t>
  </si>
  <si>
    <t xml:space="preserve">Ресторану такого уровня нужен сайт под стать: меню, бронь, заказ тортов онлайн</t>
  </si>
  <si>
    <t xml:space="preserve">Be Better (студия коррекции фигуры)</t>
  </si>
  <si>
    <t xml:space="preserve">Аппаратная косметология</t>
  </si>
  <si>
    <t xml:space="preserve">Ходынский бульвар, 2, ЖК «Лайнер», м. ЦСКА</t>
  </si>
  <si>
    <t xml:space="preserve">+7 (925) 563-64-63</t>
  </si>
  <si>
    <t xml:space="preserve">https://bebetter.taplink.ws/</t>
  </si>
  <si>
    <t xml:space="preserve">Процедуры от 15 000 до 22 000 ₽ — высокий чек, своя студия</t>
  </si>
  <si>
    <t xml:space="preserve">Продающий сайт под Яндекс.Директ (до/после, цены, акции) + ТГ-бот записи и напоминаний о курсе процедур</t>
  </si>
  <si>
    <t xml:space="preserve">С вашим чеком 15–22 тыс. одна заявка с сайта окупает рекламу. Покажу, как сделать сайт под Директ</t>
  </si>
  <si>
    <t xml:space="preserve">ColorFresh</t>
  </si>
  <si>
    <t xml:space="preserve">Студия сложного окрашивания</t>
  </si>
  <si>
    <t xml:space="preserve">ул. 2-я Рыбинская, 13</t>
  </si>
  <si>
    <t xml:space="preserve">https://colorfresh.taplink.ws/</t>
  </si>
  <si>
    <t xml:space="preserve">Основательница — арт-директор, входит в топ-10 колористов; окрашивание — дорогая услуга</t>
  </si>
  <si>
    <t xml:space="preserve">Сайт-портфолио работ (до/после) + ТГ-бот: подбор мастера, запись, фото волос до консультации</t>
  </si>
  <si>
    <t xml:space="preserve">Колористу топ-уровня нужен сайт-портфолио, а не Taplink. Бот примет фото волос и запишет на консультацию</t>
  </si>
  <si>
    <t xml:space="preserve">Pointcosmo</t>
  </si>
  <si>
    <t xml:space="preserve">Лазерная эпиляция и косметология</t>
  </si>
  <si>
    <t xml:space="preserve">Каширское шоссе, 16 (м. Каширская / Варшавская)</t>
  </si>
  <si>
    <t xml:space="preserve">https://taplink.cc/pointcosmo</t>
  </si>
  <si>
    <t xml:space="preserve">Работают ежедневно 10–21, несколько специалистов с медобразованием</t>
  </si>
  <si>
    <t xml:space="preserve">Сайт клиники с прайсом по зонам и врачами (нужен для рекламы мед. услуг) + ТГ-бот записи</t>
  </si>
  <si>
    <t xml:space="preserve">Для рекламы косметологии в Яндексе нужен нормальный сайт — сделаю под ключ + бота записи</t>
  </si>
  <si>
    <t xml:space="preserve">KUDRI BROVI</t>
  </si>
  <si>
    <t xml:space="preserve">Екатеринбург</t>
  </si>
  <si>
    <t xml:space="preserve">Бьюти-студия с медлицензией</t>
  </si>
  <si>
    <t xml:space="preserve">ул. Радищева, 31 (вход с Хохрякова)</t>
  </si>
  <si>
    <t xml:space="preserve">+7 (343) 302-21-51</t>
  </si>
  <si>
    <t xml:space="preserve">https://taplink.cc/kudribrovi_ekb</t>
  </si>
  <si>
    <t xml:space="preserve">Есть медлицензия, своя парковка, городской номер — уже не «мастер на дому»</t>
  </si>
  <si>
    <t xml:space="preserve">Сайт с услугами и врачами + ТГ-бот записи, напоминаний и отзывов</t>
  </si>
  <si>
    <t xml:space="preserve">Медлицензия есть, а сайта нет — это теряет доверие клиентов. Предлагаю сайт + бот записи</t>
  </si>
  <si>
    <t xml:space="preserve">Sportissimo</t>
  </si>
  <si>
    <t xml:space="preserve">Танцевально-спортивная студия</t>
  </si>
  <si>
    <t xml:space="preserve">ул. Парашютная, 23 (Приморский р-н)</t>
  </si>
  <si>
    <t xml:space="preserve">+7 (911) 101-74-10</t>
  </si>
  <si>
    <t xml:space="preserve">https://taplink.cc/sportissimospb</t>
  </si>
  <si>
    <t xml:space="preserve">15+ программ для всех возрастов, детская комната, абонементы до 5 800 ₽</t>
  </si>
  <si>
    <t xml:space="preserve">Сайт с расписанием и абонементами + ТГ-бот: запись на пробное, расписание, продление абонемента</t>
  </si>
  <si>
    <t xml:space="preserve">Бот сам запишет на пробное и напомнит родителям о занятии — меньше переписки у админа</t>
  </si>
  <si>
    <t xml:space="preserve">Студия электроэпиляции Наталии Князевой</t>
  </si>
  <si>
    <t xml:space="preserve">Нижний Новгород</t>
  </si>
  <si>
    <t xml:space="preserve">Электро- и лазерная эпиляция</t>
  </si>
  <si>
    <t xml:space="preserve">ул. Славянская, 23</t>
  </si>
  <si>
    <t xml:space="preserve">+7 (910) 130-70-15 (менеджер Ольга)</t>
  </si>
  <si>
    <t xml:space="preserve">https://taplink.cc/electro_epil_nn</t>
  </si>
  <si>
    <t xml:space="preserve">Работают ежедневно 9–21, есть отдельный менеджер — бизнес уже нанимает людей</t>
  </si>
  <si>
    <t xml:space="preserve">Сайт студии + ТГ-бот записи, который снимет часть нагрузки с менеджера</t>
  </si>
  <si>
    <t xml:space="preserve">У вас уже есть менеджер — бот возьмёт на себя запись и напоминания, сайт даст заявки из поиска</t>
  </si>
  <si>
    <t xml:space="preserve">Кондитерская ЭВИЛЬ</t>
  </si>
  <si>
    <t xml:space="preserve">Торты на заказ, десерты</t>
  </si>
  <si>
    <t xml:space="preserve">Казань (доставка по городу)</t>
  </si>
  <si>
    <t xml:space="preserve">8-937-526-27-26</t>
  </si>
  <si>
    <t xml:space="preserve">https://taplink.cc/eville_studio/p/8defa0/</t>
  </si>
  <si>
    <t xml:space="preserve">Торты в наличии + срочные заказы, свадебные и корпоративные — стабильный поток</t>
  </si>
  <si>
    <t xml:space="preserve">ТГ-бот-каталог тортов с конструктором (начинка, вес, дата) + сайт-витрина под поиск «торт на заказ Казань»</t>
  </si>
  <si>
    <t xml:space="preserve">Бот примет заказ торта с начинкой и датой сам, а сайт будет собирать заказы из Яндекса</t>
  </si>
  <si>
    <t xml:space="preserve">B</t>
  </si>
  <si>
    <t xml:space="preserve">Подолог в Новосибирске</t>
  </si>
  <si>
    <t xml:space="preserve">Новосибирск</t>
  </si>
  <si>
    <t xml:space="preserve">Подология</t>
  </si>
  <si>
    <t xml:space="preserve">ул. Ленина, 12, 7 этаж, офис 700</t>
  </si>
  <si>
    <t xml:space="preserve">https://taplink.cc/podolog_garchenko</t>
  </si>
  <si>
    <t xml:space="preserve">500+ положительных отзывов, несколько специалистов</t>
  </si>
  <si>
    <t xml:space="preserve">Сайт с услугами/кейсами + ТГ-бот записи и повторных визитов</t>
  </si>
  <si>
    <t xml:space="preserve">С 500 отзывами вы уже бренд — пора сайт, чтобы клиенты из поиска приходили к вам, а не к конкурентам</t>
  </si>
  <si>
    <t xml:space="preserve">Prosto Yoga Fit</t>
  </si>
  <si>
    <t xml:space="preserve">Студия йоги и пилатеса</t>
  </si>
  <si>
    <t xml:space="preserve">ул. Белинского, 222, 3 этаж, офис 14а</t>
  </si>
  <si>
    <t xml:space="preserve">https://prostoyogafit.taplink.ws/</t>
  </si>
  <si>
    <t xml:space="preserve">Много направлений по одному абонементу</t>
  </si>
  <si>
    <t xml:space="preserve">ТГ-бот: расписание, запись на занятие, остаток по абонементу; лендинг для рекламы</t>
  </si>
  <si>
    <t xml:space="preserve">Бот покажет расписание и запишет на занятие в 2 клика, без переписки</t>
  </si>
  <si>
    <t xml:space="preserve">Kosmotime Green Studio</t>
  </si>
  <si>
    <t xml:space="preserve">Ростов-на-Дону</t>
  </si>
  <si>
    <t xml:space="preserve">Маникюр, ресницы, брови</t>
  </si>
  <si>
    <t xml:space="preserve">Грибоедовский пер., 6</t>
  </si>
  <si>
    <t xml:space="preserve">+7 (919) 889-05-70</t>
  </si>
  <si>
    <t xml:space="preserve">https://taplink.cc/kosmotime.rnd</t>
  </si>
  <si>
    <t xml:space="preserve">Работают ежедневно 9–21, широкий спектр услуг</t>
  </si>
  <si>
    <t xml:space="preserve">ТГ-бот записи к мастеру, напоминаний и акций; простой сайт с прайсом</t>
  </si>
  <si>
    <t xml:space="preserve">Бот записи 24/7: клиент записывается ночью, а утром мастер уже видит запись</t>
  </si>
  <si>
    <t xml:space="preserve">Прянички от Танечки</t>
  </si>
  <si>
    <t xml:space="preserve">Кондитерская студия, пряники, бенто</t>
  </si>
  <si>
    <t xml:space="preserve">ул. Атарбекова, 4А (м. Преображенская пл.)</t>
  </si>
  <si>
    <t xml:space="preserve">https://pryanichkiottanechki.taplink.ws/</t>
  </si>
  <si>
    <t xml:space="preserve">Есть декларации соответствия — могут поставлять в кафе и рестораны (B2B)</t>
  </si>
  <si>
    <t xml:space="preserve">Сайт-каталог для B2B (кафе, корпоративные подарки) + ТГ-бот заказа для частных клиентов</t>
  </si>
  <si>
    <t xml:space="preserve">С декларациями можно продавать кафе и компаниям — для этого нужен сайт-каталог с оптовыми ценами</t>
  </si>
  <si>
    <t xml:space="preserve">YESNAIL</t>
  </si>
  <si>
    <t xml:space="preserve">Студия маникюра</t>
  </si>
  <si>
    <t xml:space="preserve">Ленинградское шоссе, у м. Речной вокзал</t>
  </si>
  <si>
    <t xml:space="preserve">https://taplink.cc/yesnail.r</t>
  </si>
  <si>
    <t xml:space="preserve">Студия с несколькими услугами (маникюр, педикюр, ресницы, брови)</t>
  </si>
  <si>
    <t xml:space="preserve">ТГ-бот</t>
  </si>
  <si>
    <t xml:space="preserve">ТГ-бот записи, напоминаний и программы «приведи подругу»</t>
  </si>
  <si>
    <t xml:space="preserve">Бот напомнит клиентке о коррекции через 3 недели — это повторные записи без рекламы</t>
  </si>
  <si>
    <t xml:space="preserve">Кафе MIRRA</t>
  </si>
  <si>
    <t xml:space="preserve">Воронеж</t>
  </si>
  <si>
    <t xml:space="preserve">Кафе-завтраки, specialty-кофе, вино</t>
  </si>
  <si>
    <t xml:space="preserve">Центр Воронежа</t>
  </si>
  <si>
    <t xml:space="preserve">https://cafemirra.taplink.ws/</t>
  </si>
  <si>
    <t xml:space="preserve">Концептуальное кафе: завтраки весь день, вечерние вина и настойки</t>
  </si>
  <si>
    <t xml:space="preserve">Атмосферный сайт-меню + ТГ-бот брони столика и анонсов вечеров</t>
  </si>
  <si>
    <t xml:space="preserve">Красивый сайт-меню и бот брони столика под вашу эстетику «старой Европы»</t>
  </si>
  <si>
    <t xml:space="preserve">Музыкальная школа DINAMICA</t>
  </si>
  <si>
    <t xml:space="preserve">Музыкальная школа</t>
  </si>
  <si>
    <t xml:space="preserve">Новосибирск (адрес на Taplink)</t>
  </si>
  <si>
    <t xml:space="preserve">https://taplink.cc/dinamica_music_nsk</t>
  </si>
  <si>
    <t xml:space="preserve">6 направлений (вокал, гитара, фортепиано, барабаны, скрипка, укулеле), дети от 3 лет и взрослые</t>
  </si>
  <si>
    <t xml:space="preserve">Сайт с преподавателями и направлениями + ТГ-бот записи на пробный урок и оплаты</t>
  </si>
  <si>
    <t xml:space="preserve">Бот запишет на пробный урок по нужному инструменту и напомнит родителям</t>
  </si>
  <si>
    <t xml:space="preserve">Студия пилатеса на Выборгской</t>
  </si>
  <si>
    <t xml:space="preserve">Пилатес, мини-группы</t>
  </si>
  <si>
    <t xml:space="preserve">Большой Сампсониевский пр., 55, 2 этаж</t>
  </si>
  <si>
    <t xml:space="preserve">https://chebykinavalentina.taplink.ws/</t>
  </si>
  <si>
    <t xml:space="preserve">Своя студия с группами и персональными занятиями</t>
  </si>
  <si>
    <t xml:space="preserve">ТГ-бот: расписание мини-групп, запись, лист ожидания, абонементы</t>
  </si>
  <si>
    <t xml:space="preserve">Мини-группы быстро заполняются — бот ведёт запись и лист ожидания сам</t>
  </si>
  <si>
    <t xml:space="preserve">Студия красоты «Глянец»</t>
  </si>
  <si>
    <t xml:space="preserve">Санкт-Петербург (Металлострой)</t>
  </si>
  <si>
    <t xml:space="preserve">Салон красоты</t>
  </si>
  <si>
    <t xml:space="preserve">ул. Полевая, 12, пос. Металлострой</t>
  </si>
  <si>
    <t xml:space="preserve">https://taplink.cc/stydia_gljanec</t>
  </si>
  <si>
    <t xml:space="preserve">Полный набор услуг: маникюр, стрижки, окрашивание, брови, косметология</t>
  </si>
  <si>
    <t xml:space="preserve">Сайт салона (по запросам «салон красоты Металлострой» конкурентов мало) + ТГ-бот записи</t>
  </si>
  <si>
    <t xml:space="preserve">В Металлострое почти нет салонов с сайтом — легко выйти в топ поиска</t>
  </si>
  <si>
    <t xml:space="preserve">Итого потенциал воронки:</t>
  </si>
  <si>
    <t xml:space="preserve">Как пользоваться:</t>
  </si>
  <si>
    <t xml:space="preserve">• Жёлтые колонки (Статус, Дата контакта, Комментарий) — заполняешь ты. Статус выбирается из списка.</t>
  </si>
  <si>
    <t xml:space="preserve">• Синие цифры «Бюджет от/до» — мой ориентир по рынку фриланса РФ, не цена клиента. Поменяй под свои расценки — итоги пересчитаются.</t>
  </si>
  <si>
    <t xml:space="preserve">• Приоритет A — несколько точек / высокий чек / штат, звонить первыми. B — меньше, но тоже готовы платить.</t>
  </si>
  <si>
    <t xml:space="preserve">• Цветочный дом — самый крупный в списке (8 магазинов): чек выше, но и требования выше.</t>
  </si>
  <si>
    <t xml:space="preserve">Сводка по воронке</t>
  </si>
  <si>
    <t xml:space="preserve">Кол-во</t>
  </si>
  <si>
    <t xml:space="preserve">Написал</t>
  </si>
  <si>
    <t xml:space="preserve">Ответил</t>
  </si>
  <si>
    <t xml:space="preserve">Созвон</t>
  </si>
  <si>
    <t xml:space="preserve">КП отправлено</t>
  </si>
  <si>
    <t xml:space="preserve">Сделка</t>
  </si>
  <si>
    <t xml:space="preserve">Отказ</t>
  </si>
  <si>
    <t xml:space="preserve">Всего</t>
  </si>
  <si>
    <t xml:space="preserve">Конверсия в сделку</t>
  </si>
  <si>
    <t xml:space="preserve">Запасные варианты (если кто-то из 20 откажет)</t>
  </si>
  <si>
    <t xml:space="preserve">Ссылка</t>
  </si>
  <si>
    <t xml:space="preserve">Что предложить</t>
  </si>
  <si>
    <t xml:space="preserve">Живая глина</t>
  </si>
  <si>
    <t xml:space="preserve">Студия керамики и живописи</t>
  </si>
  <si>
    <t xml:space="preserve">https://glinansk.taplink.ws/</t>
  </si>
  <si>
    <t xml:space="preserve">Мастер-классы, дни рождения, корпоративы — нужен сайт + бот брони мероприятий</t>
  </si>
  <si>
    <t xml:space="preserve">Терракот</t>
  </si>
  <si>
    <t xml:space="preserve">Гончарная мастерская</t>
  </si>
  <si>
    <t xml:space="preserve">https://taplink.cc/terrakotnsk</t>
  </si>
  <si>
    <t xml:space="preserve">Курсы, МК, продажа изделий — сайт-магазин + бот записи</t>
  </si>
  <si>
    <t xml:space="preserve">ДаБро</t>
  </si>
  <si>
    <t xml:space="preserve">город уточнить</t>
  </si>
  <si>
    <t xml:space="preserve">Барбершоп</t>
  </si>
  <si>
    <t xml:space="preserve">https://dabrobarbershop.taplink.ws/</t>
  </si>
  <si>
    <t xml:space="preserve">Бот записи к мастеру</t>
  </si>
  <si>
    <t xml:space="preserve">Делюсь мечтой</t>
  </si>
  <si>
    <t xml:space="preserve">Кофейня</t>
  </si>
  <si>
    <t xml:space="preserve">https://sharingdream.taplink.ws/</t>
  </si>
  <si>
    <t xml:space="preserve">Предзаказ десертов и доставка — ТГ-бот</t>
  </si>
  <si>
    <t xml:space="preserve">Nostalgia coffee</t>
  </si>
  <si>
    <t xml:space="preserve">https://taplink.cc/nostalgia_coffee_mos</t>
  </si>
  <si>
    <t xml:space="preserve">Бот предзаказа и лояльности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</si>
</sst>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"/>
    <numFmt numFmtId="166" formatCode="dd\.mm\.yyyy"/>
    <numFmt numFmtId="167" formatCode="0.0%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u val="single"/>
      <sz val="10"/>
      <color rgb="FF0563C1"/>
      <name val="Arial"/>
      <family val="0"/>
      <charset val="1"/>
    </font>
    <font>
      <sz val="10"/>
      <color rgb="FF0000FF"/>
      <name val="Arial"/>
      <family val="0"/>
      <charset val="1"/>
    </font>
    <font>
      <sz val="9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2CC"/>
        <bgColor rgb="FFFCE4D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1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1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CE4D6"/>
          <bgColor rgb="FF000000"/>
        </patternFill>
      </fill>
    </dxf>
    <dxf>
      <fill>
        <patternFill patternType="solid">
          <fgColor rgb="FFC00000"/>
          <bgColor rgb="FF000000"/>
        </patternFill>
      </fill>
    </dxf>
    <dxf>
      <fill>
        <patternFill patternType="solid">
          <fgColor rgb="FF0563C1"/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>
          <bgColor rgb="FFC6EFCE"/>
        </patternFill>
      </fill>
    </dxf>
    <dxf>
      <fill>
        <patternFill>
          <bgColor rgb="FFE7E6E6"/>
        </patternFill>
      </fill>
    </dxf>
    <dxf>
      <font>
        <name val="Arial"/>
        <charset val="1"/>
        <family val="0"/>
        <b val="1"/>
        <color rgb="FFC00000"/>
      </font>
      <fill>
        <patternFill>
          <bgColor rgb="FFFCE4D6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E7E6E6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taplink.cc/cvetochniy_dom23" TargetMode="External"/><Relationship Id="rId2" Type="http://schemas.openxmlformats.org/officeDocument/2006/relationships/hyperlink" Target="https://taplink.cc/nadi_sugarlife" TargetMode="External"/><Relationship Id="rId3" Type="http://schemas.openxmlformats.org/officeDocument/2006/relationships/hyperlink" Target="https://taplink.cc/neplach" TargetMode="External"/><Relationship Id="rId4" Type="http://schemas.openxmlformats.org/officeDocument/2006/relationships/hyperlink" Target="https://taplink.cc/buffetkazan" TargetMode="External"/><Relationship Id="rId5" Type="http://schemas.openxmlformats.org/officeDocument/2006/relationships/hyperlink" Target="https://bebetter.taplink.ws/" TargetMode="External"/><Relationship Id="rId6" Type="http://schemas.openxmlformats.org/officeDocument/2006/relationships/hyperlink" Target="https://colorfresh.taplink.ws/" TargetMode="External"/><Relationship Id="rId7" Type="http://schemas.openxmlformats.org/officeDocument/2006/relationships/hyperlink" Target="https://taplink.cc/pointcosmo" TargetMode="External"/><Relationship Id="rId8" Type="http://schemas.openxmlformats.org/officeDocument/2006/relationships/hyperlink" Target="https://taplink.cc/kudribrovi_ekb" TargetMode="External"/><Relationship Id="rId9" Type="http://schemas.openxmlformats.org/officeDocument/2006/relationships/hyperlink" Target="https://taplink.cc/sportissimospb" TargetMode="External"/><Relationship Id="rId10" Type="http://schemas.openxmlformats.org/officeDocument/2006/relationships/hyperlink" Target="https://taplink.cc/electro_epil_nn" TargetMode="External"/><Relationship Id="rId11" Type="http://schemas.openxmlformats.org/officeDocument/2006/relationships/hyperlink" Target="https://taplink.cc/eville_studio/p/8defa0/" TargetMode="External"/><Relationship Id="rId12" Type="http://schemas.openxmlformats.org/officeDocument/2006/relationships/hyperlink" Target="https://taplink.cc/podolog_garchenko" TargetMode="External"/><Relationship Id="rId13" Type="http://schemas.openxmlformats.org/officeDocument/2006/relationships/hyperlink" Target="https://prostoyogafit.taplink.ws/" TargetMode="External"/><Relationship Id="rId14" Type="http://schemas.openxmlformats.org/officeDocument/2006/relationships/hyperlink" Target="https://taplink.cc/kosmotime.rnd" TargetMode="External"/><Relationship Id="rId15" Type="http://schemas.openxmlformats.org/officeDocument/2006/relationships/hyperlink" Target="https://pryanichkiottanechki.taplink.ws/" TargetMode="External"/><Relationship Id="rId16" Type="http://schemas.openxmlformats.org/officeDocument/2006/relationships/hyperlink" Target="https://taplink.cc/yesnail.r" TargetMode="External"/><Relationship Id="rId17" Type="http://schemas.openxmlformats.org/officeDocument/2006/relationships/hyperlink" Target="https://cafemirra.taplink.ws/" TargetMode="External"/><Relationship Id="rId18" Type="http://schemas.openxmlformats.org/officeDocument/2006/relationships/hyperlink" Target="https://taplink.cc/dinamica_music_nsk" TargetMode="External"/><Relationship Id="rId19" Type="http://schemas.openxmlformats.org/officeDocument/2006/relationships/hyperlink" Target="https://chebykinavalentina.taplink.ws/" TargetMode="External"/><Relationship Id="rId20" Type="http://schemas.openxmlformats.org/officeDocument/2006/relationships/hyperlink" Target="https://taplink.cc/stydia_gljanec" TargetMode="External"/><Relationship Id="rId2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hyperlink" Target="https://glinansk.taplink.ws/" TargetMode="External"/><Relationship Id="rId2" Type="http://schemas.openxmlformats.org/officeDocument/2006/relationships/hyperlink" Target="https://taplink.cc/terrakotnsk" TargetMode="External"/><Relationship Id="rId3" Type="http://schemas.openxmlformats.org/officeDocument/2006/relationships/hyperlink" Target="https://dabrobarbershop.taplink.ws/" TargetMode="External"/><Relationship Id="rId4" Type="http://schemas.openxmlformats.org/officeDocument/2006/relationships/hyperlink" Target="https://sharingdream.taplink.ws/" TargetMode="External"/><Relationship Id="rId5" Type="http://schemas.openxmlformats.org/officeDocument/2006/relationships/hyperlink" Target="https://taplink.cc/nostalgia_coffee_mos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3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0"/>
    <col collapsed="false" customWidth="true" hidden="false" outlineLevel="0" max="3" min="3" style="0" width="26"/>
    <col collapsed="false" customWidth="true" hidden="false" outlineLevel="0" max="4" min="4" style="0" width="18"/>
    <col collapsed="false" customWidth="true" hidden="false" outlineLevel="0" max="5" min="5" style="0" width="22"/>
    <col collapsed="false" customWidth="true" hidden="false" outlineLevel="0" max="6" min="6" style="0" width="32"/>
    <col collapsed="false" customWidth="true" hidden="false" outlineLevel="0" max="7" min="7" style="0" width="20"/>
    <col collapsed="false" customWidth="true" hidden="false" outlineLevel="0" max="8" min="8" style="0" width="34"/>
    <col collapsed="false" customWidth="true" hidden="false" outlineLevel="0" max="9" min="9" style="0" width="38"/>
    <col collapsed="false" customWidth="true" hidden="false" outlineLevel="0" max="10" min="10" style="0" width="14"/>
    <col collapsed="false" customWidth="true" hidden="false" outlineLevel="0" max="12" min="11" style="0" width="48"/>
    <col collapsed="false" customWidth="true" hidden="false" outlineLevel="0" max="14" min="13" style="0" width="13"/>
    <col collapsed="false" customWidth="true" hidden="false" outlineLevel="0" max="15" min="15" style="0" width="16"/>
    <col collapsed="false" customWidth="true" hidden="false" outlineLevel="0" max="16" min="16" style="0" width="13"/>
    <col collapsed="false" customWidth="true" hidden="false" outlineLevel="0" max="17" min="17" style="0" width="28"/>
  </cols>
  <sheetData>
    <row r="1" customFormat="false" ht="17.35" hidden="false" customHeight="false" outlineLevel="0" collapsed="false">
      <c r="A1" s="1" t="s">
        <v>0</v>
      </c>
    </row>
    <row r="2" customFormat="false" ht="27.7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</row>
    <row r="4" customFormat="false" ht="31.5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  <c r="M4" s="3" t="s">
        <v>14</v>
      </c>
      <c r="N4" s="3" t="s">
        <v>15</v>
      </c>
      <c r="O4" s="3" t="s">
        <v>16</v>
      </c>
      <c r="P4" s="3" t="s">
        <v>17</v>
      </c>
      <c r="Q4" s="3" t="s">
        <v>18</v>
      </c>
    </row>
    <row r="5" customFormat="false" ht="91.5" hidden="false" customHeight="true" outlineLevel="0" collapsed="false">
      <c r="A5" s="4" t="n">
        <v>1</v>
      </c>
      <c r="B5" s="4" t="s">
        <v>19</v>
      </c>
      <c r="C5" s="5" t="s">
        <v>20</v>
      </c>
      <c r="D5" s="6" t="s">
        <v>21</v>
      </c>
      <c r="E5" s="6" t="s">
        <v>22</v>
      </c>
      <c r="F5" s="6" t="s">
        <v>23</v>
      </c>
      <c r="G5" s="6" t="s">
        <v>24</v>
      </c>
      <c r="H5" s="7" t="s">
        <v>25</v>
      </c>
      <c r="I5" s="6" t="s">
        <v>26</v>
      </c>
      <c r="J5" s="4" t="s">
        <v>27</v>
      </c>
      <c r="K5" s="6" t="s">
        <v>28</v>
      </c>
      <c r="L5" s="6" t="s">
        <v>29</v>
      </c>
      <c r="M5" s="8" t="n">
        <v>100000</v>
      </c>
      <c r="N5" s="8" t="n">
        <v>200000</v>
      </c>
      <c r="O5" s="9" t="s">
        <v>30</v>
      </c>
      <c r="P5" s="10"/>
      <c r="Q5" s="9"/>
    </row>
    <row r="6" customFormat="false" ht="91.5" hidden="false" customHeight="true" outlineLevel="0" collapsed="false">
      <c r="A6" s="4" t="n">
        <v>2</v>
      </c>
      <c r="B6" s="4" t="s">
        <v>19</v>
      </c>
      <c r="C6" s="5" t="s">
        <v>31</v>
      </c>
      <c r="D6" s="6" t="s">
        <v>32</v>
      </c>
      <c r="E6" s="6" t="s">
        <v>33</v>
      </c>
      <c r="F6" s="6" t="s">
        <v>34</v>
      </c>
      <c r="G6" s="6" t="s">
        <v>24</v>
      </c>
      <c r="H6" s="7" t="s">
        <v>35</v>
      </c>
      <c r="I6" s="6" t="s">
        <v>36</v>
      </c>
      <c r="J6" s="4" t="s">
        <v>27</v>
      </c>
      <c r="K6" s="6" t="s">
        <v>37</v>
      </c>
      <c r="L6" s="6" t="s">
        <v>38</v>
      </c>
      <c r="M6" s="8" t="n">
        <v>80000</v>
      </c>
      <c r="N6" s="8" t="n">
        <v>160000</v>
      </c>
      <c r="O6" s="9" t="s">
        <v>30</v>
      </c>
      <c r="P6" s="10"/>
      <c r="Q6" s="9"/>
    </row>
    <row r="7" customFormat="false" ht="91.5" hidden="false" customHeight="true" outlineLevel="0" collapsed="false">
      <c r="A7" s="4" t="n">
        <v>3</v>
      </c>
      <c r="B7" s="4" t="s">
        <v>19</v>
      </c>
      <c r="C7" s="5" t="s">
        <v>39</v>
      </c>
      <c r="D7" s="6" t="s">
        <v>40</v>
      </c>
      <c r="E7" s="6" t="s">
        <v>41</v>
      </c>
      <c r="F7" s="6" t="s">
        <v>42</v>
      </c>
      <c r="G7" s="6" t="s">
        <v>24</v>
      </c>
      <c r="H7" s="7" t="s">
        <v>43</v>
      </c>
      <c r="I7" s="6" t="s">
        <v>44</v>
      </c>
      <c r="J7" s="4" t="s">
        <v>45</v>
      </c>
      <c r="K7" s="6" t="s">
        <v>46</v>
      </c>
      <c r="L7" s="6" t="s">
        <v>47</v>
      </c>
      <c r="M7" s="8" t="n">
        <v>50000</v>
      </c>
      <c r="N7" s="8" t="n">
        <v>120000</v>
      </c>
      <c r="O7" s="9" t="s">
        <v>30</v>
      </c>
      <c r="P7" s="10"/>
      <c r="Q7" s="9"/>
    </row>
    <row r="8" customFormat="false" ht="91.5" hidden="false" customHeight="true" outlineLevel="0" collapsed="false">
      <c r="A8" s="4" t="n">
        <v>4</v>
      </c>
      <c r="B8" s="4" t="s">
        <v>19</v>
      </c>
      <c r="C8" s="5" t="s">
        <v>48</v>
      </c>
      <c r="D8" s="6" t="s">
        <v>49</v>
      </c>
      <c r="E8" s="6" t="s">
        <v>50</v>
      </c>
      <c r="F8" s="6" t="s">
        <v>51</v>
      </c>
      <c r="G8" s="6" t="s">
        <v>52</v>
      </c>
      <c r="H8" s="7" t="s">
        <v>53</v>
      </c>
      <c r="I8" s="6" t="s">
        <v>54</v>
      </c>
      <c r="J8" s="4" t="s">
        <v>27</v>
      </c>
      <c r="K8" s="6" t="s">
        <v>55</v>
      </c>
      <c r="L8" s="6" t="s">
        <v>56</v>
      </c>
      <c r="M8" s="8" t="n">
        <v>90000</v>
      </c>
      <c r="N8" s="8" t="n">
        <v>180000</v>
      </c>
      <c r="O8" s="9" t="s">
        <v>30</v>
      </c>
      <c r="P8" s="10"/>
      <c r="Q8" s="9"/>
    </row>
    <row r="9" customFormat="false" ht="91.5" hidden="false" customHeight="true" outlineLevel="0" collapsed="false">
      <c r="A9" s="4" t="n">
        <v>5</v>
      </c>
      <c r="B9" s="4" t="s">
        <v>19</v>
      </c>
      <c r="C9" s="5" t="s">
        <v>57</v>
      </c>
      <c r="D9" s="6" t="s">
        <v>40</v>
      </c>
      <c r="E9" s="6" t="s">
        <v>58</v>
      </c>
      <c r="F9" s="6" t="s">
        <v>59</v>
      </c>
      <c r="G9" s="6" t="s">
        <v>60</v>
      </c>
      <c r="H9" s="7" t="s">
        <v>61</v>
      </c>
      <c r="I9" s="6" t="s">
        <v>62</v>
      </c>
      <c r="J9" s="4" t="s">
        <v>27</v>
      </c>
      <c r="K9" s="6" t="s">
        <v>63</v>
      </c>
      <c r="L9" s="6" t="s">
        <v>64</v>
      </c>
      <c r="M9" s="8" t="n">
        <v>80000</v>
      </c>
      <c r="N9" s="8" t="n">
        <v>150000</v>
      </c>
      <c r="O9" s="9" t="s">
        <v>30</v>
      </c>
      <c r="P9" s="10"/>
      <c r="Q9" s="9"/>
    </row>
    <row r="10" customFormat="false" ht="91.5" hidden="false" customHeight="true" outlineLevel="0" collapsed="false">
      <c r="A10" s="4" t="n">
        <v>6</v>
      </c>
      <c r="B10" s="4" t="s">
        <v>19</v>
      </c>
      <c r="C10" s="5" t="s">
        <v>65</v>
      </c>
      <c r="D10" s="6" t="s">
        <v>40</v>
      </c>
      <c r="E10" s="6" t="s">
        <v>66</v>
      </c>
      <c r="F10" s="6" t="s">
        <v>67</v>
      </c>
      <c r="G10" s="6" t="s">
        <v>24</v>
      </c>
      <c r="H10" s="7" t="s">
        <v>68</v>
      </c>
      <c r="I10" s="6" t="s">
        <v>69</v>
      </c>
      <c r="J10" s="4" t="s">
        <v>27</v>
      </c>
      <c r="K10" s="6" t="s">
        <v>70</v>
      </c>
      <c r="L10" s="6" t="s">
        <v>71</v>
      </c>
      <c r="M10" s="8" t="n">
        <v>70000</v>
      </c>
      <c r="N10" s="8" t="n">
        <v>140000</v>
      </c>
      <c r="O10" s="9" t="s">
        <v>30</v>
      </c>
      <c r="P10" s="10"/>
      <c r="Q10" s="9"/>
    </row>
    <row r="11" customFormat="false" ht="91.5" hidden="false" customHeight="true" outlineLevel="0" collapsed="false">
      <c r="A11" s="4" t="n">
        <v>7</v>
      </c>
      <c r="B11" s="4" t="s">
        <v>19</v>
      </c>
      <c r="C11" s="5" t="s">
        <v>72</v>
      </c>
      <c r="D11" s="6" t="s">
        <v>40</v>
      </c>
      <c r="E11" s="6" t="s">
        <v>73</v>
      </c>
      <c r="F11" s="6" t="s">
        <v>74</v>
      </c>
      <c r="G11" s="6" t="s">
        <v>24</v>
      </c>
      <c r="H11" s="7" t="s">
        <v>75</v>
      </c>
      <c r="I11" s="6" t="s">
        <v>76</v>
      </c>
      <c r="J11" s="4" t="s">
        <v>27</v>
      </c>
      <c r="K11" s="6" t="s">
        <v>77</v>
      </c>
      <c r="L11" s="6" t="s">
        <v>78</v>
      </c>
      <c r="M11" s="8" t="n">
        <v>70000</v>
      </c>
      <c r="N11" s="8" t="n">
        <v>140000</v>
      </c>
      <c r="O11" s="9" t="s">
        <v>30</v>
      </c>
      <c r="P11" s="10"/>
      <c r="Q11" s="9"/>
    </row>
    <row r="12" customFormat="false" ht="91.5" hidden="false" customHeight="true" outlineLevel="0" collapsed="false">
      <c r="A12" s="4" t="n">
        <v>8</v>
      </c>
      <c r="B12" s="4" t="s">
        <v>19</v>
      </c>
      <c r="C12" s="5" t="s">
        <v>79</v>
      </c>
      <c r="D12" s="6" t="s">
        <v>80</v>
      </c>
      <c r="E12" s="6" t="s">
        <v>81</v>
      </c>
      <c r="F12" s="6" t="s">
        <v>82</v>
      </c>
      <c r="G12" s="6" t="s">
        <v>83</v>
      </c>
      <c r="H12" s="7" t="s">
        <v>84</v>
      </c>
      <c r="I12" s="6" t="s">
        <v>85</v>
      </c>
      <c r="J12" s="4" t="s">
        <v>27</v>
      </c>
      <c r="K12" s="6" t="s">
        <v>86</v>
      </c>
      <c r="L12" s="6" t="s">
        <v>87</v>
      </c>
      <c r="M12" s="8" t="n">
        <v>70000</v>
      </c>
      <c r="N12" s="8" t="n">
        <v>140000</v>
      </c>
      <c r="O12" s="9" t="s">
        <v>30</v>
      </c>
      <c r="P12" s="10"/>
      <c r="Q12" s="9"/>
    </row>
    <row r="13" customFormat="false" ht="91.5" hidden="false" customHeight="true" outlineLevel="0" collapsed="false">
      <c r="A13" s="4" t="n">
        <v>9</v>
      </c>
      <c r="B13" s="4" t="s">
        <v>19</v>
      </c>
      <c r="C13" s="5" t="s">
        <v>88</v>
      </c>
      <c r="D13" s="6" t="s">
        <v>32</v>
      </c>
      <c r="E13" s="6" t="s">
        <v>89</v>
      </c>
      <c r="F13" s="6" t="s">
        <v>90</v>
      </c>
      <c r="G13" s="6" t="s">
        <v>91</v>
      </c>
      <c r="H13" s="7" t="s">
        <v>92</v>
      </c>
      <c r="I13" s="6" t="s">
        <v>93</v>
      </c>
      <c r="J13" s="4" t="s">
        <v>27</v>
      </c>
      <c r="K13" s="6" t="s">
        <v>94</v>
      </c>
      <c r="L13" s="6" t="s">
        <v>95</v>
      </c>
      <c r="M13" s="8" t="n">
        <v>60000</v>
      </c>
      <c r="N13" s="8" t="n">
        <v>130000</v>
      </c>
      <c r="O13" s="9" t="s">
        <v>30</v>
      </c>
      <c r="P13" s="10"/>
      <c r="Q13" s="9"/>
    </row>
    <row r="14" customFormat="false" ht="91.5" hidden="false" customHeight="true" outlineLevel="0" collapsed="false">
      <c r="A14" s="4" t="n">
        <v>10</v>
      </c>
      <c r="B14" s="4" t="s">
        <v>19</v>
      </c>
      <c r="C14" s="5" t="s">
        <v>96</v>
      </c>
      <c r="D14" s="6" t="s">
        <v>97</v>
      </c>
      <c r="E14" s="6" t="s">
        <v>98</v>
      </c>
      <c r="F14" s="6" t="s">
        <v>99</v>
      </c>
      <c r="G14" s="6" t="s">
        <v>100</v>
      </c>
      <c r="H14" s="7" t="s">
        <v>101</v>
      </c>
      <c r="I14" s="6" t="s">
        <v>102</v>
      </c>
      <c r="J14" s="4" t="s">
        <v>27</v>
      </c>
      <c r="K14" s="6" t="s">
        <v>103</v>
      </c>
      <c r="L14" s="6" t="s">
        <v>104</v>
      </c>
      <c r="M14" s="8" t="n">
        <v>60000</v>
      </c>
      <c r="N14" s="8" t="n">
        <v>130000</v>
      </c>
      <c r="O14" s="9" t="s">
        <v>30</v>
      </c>
      <c r="P14" s="10"/>
      <c r="Q14" s="9"/>
    </row>
    <row r="15" customFormat="false" ht="91.5" hidden="false" customHeight="true" outlineLevel="0" collapsed="false">
      <c r="A15" s="4" t="n">
        <v>11</v>
      </c>
      <c r="B15" s="4" t="s">
        <v>19</v>
      </c>
      <c r="C15" s="5" t="s">
        <v>105</v>
      </c>
      <c r="D15" s="6" t="s">
        <v>49</v>
      </c>
      <c r="E15" s="6" t="s">
        <v>106</v>
      </c>
      <c r="F15" s="6" t="s">
        <v>107</v>
      </c>
      <c r="G15" s="6" t="s">
        <v>108</v>
      </c>
      <c r="H15" s="7" t="s">
        <v>109</v>
      </c>
      <c r="I15" s="6" t="s">
        <v>110</v>
      </c>
      <c r="J15" s="4" t="s">
        <v>27</v>
      </c>
      <c r="K15" s="6" t="s">
        <v>111</v>
      </c>
      <c r="L15" s="6" t="s">
        <v>112</v>
      </c>
      <c r="M15" s="8" t="n">
        <v>60000</v>
      </c>
      <c r="N15" s="8" t="n">
        <v>130000</v>
      </c>
      <c r="O15" s="9" t="s">
        <v>30</v>
      </c>
      <c r="P15" s="10"/>
      <c r="Q15" s="9"/>
    </row>
    <row r="16" customFormat="false" ht="91.5" hidden="false" customHeight="true" outlineLevel="0" collapsed="false">
      <c r="A16" s="4" t="n">
        <v>12</v>
      </c>
      <c r="B16" s="4" t="s">
        <v>113</v>
      </c>
      <c r="C16" s="5" t="s">
        <v>114</v>
      </c>
      <c r="D16" s="6" t="s">
        <v>115</v>
      </c>
      <c r="E16" s="6" t="s">
        <v>116</v>
      </c>
      <c r="F16" s="6" t="s">
        <v>117</v>
      </c>
      <c r="G16" s="6" t="s">
        <v>24</v>
      </c>
      <c r="H16" s="7" t="s">
        <v>118</v>
      </c>
      <c r="I16" s="6" t="s">
        <v>119</v>
      </c>
      <c r="J16" s="4" t="s">
        <v>27</v>
      </c>
      <c r="K16" s="6" t="s">
        <v>120</v>
      </c>
      <c r="L16" s="6" t="s">
        <v>121</v>
      </c>
      <c r="M16" s="8" t="n">
        <v>50000</v>
      </c>
      <c r="N16" s="8" t="n">
        <v>110000</v>
      </c>
      <c r="O16" s="9" t="s">
        <v>30</v>
      </c>
      <c r="P16" s="10"/>
      <c r="Q16" s="9"/>
    </row>
    <row r="17" customFormat="false" ht="91.5" hidden="false" customHeight="true" outlineLevel="0" collapsed="false">
      <c r="A17" s="4" t="n">
        <v>13</v>
      </c>
      <c r="B17" s="4" t="s">
        <v>113</v>
      </c>
      <c r="C17" s="5" t="s">
        <v>122</v>
      </c>
      <c r="D17" s="6" t="s">
        <v>80</v>
      </c>
      <c r="E17" s="6" t="s">
        <v>123</v>
      </c>
      <c r="F17" s="6" t="s">
        <v>124</v>
      </c>
      <c r="G17" s="6" t="s">
        <v>24</v>
      </c>
      <c r="H17" s="7" t="s">
        <v>125</v>
      </c>
      <c r="I17" s="6" t="s">
        <v>126</v>
      </c>
      <c r="J17" s="4" t="s">
        <v>45</v>
      </c>
      <c r="K17" s="6" t="s">
        <v>127</v>
      </c>
      <c r="L17" s="6" t="s">
        <v>128</v>
      </c>
      <c r="M17" s="8" t="n">
        <v>45000</v>
      </c>
      <c r="N17" s="8" t="n">
        <v>100000</v>
      </c>
      <c r="O17" s="9" t="s">
        <v>30</v>
      </c>
      <c r="P17" s="10"/>
      <c r="Q17" s="9"/>
    </row>
    <row r="18" customFormat="false" ht="91.5" hidden="false" customHeight="true" outlineLevel="0" collapsed="false">
      <c r="A18" s="4" t="n">
        <v>14</v>
      </c>
      <c r="B18" s="4" t="s">
        <v>113</v>
      </c>
      <c r="C18" s="5" t="s">
        <v>129</v>
      </c>
      <c r="D18" s="6" t="s">
        <v>130</v>
      </c>
      <c r="E18" s="6" t="s">
        <v>131</v>
      </c>
      <c r="F18" s="6" t="s">
        <v>132</v>
      </c>
      <c r="G18" s="6" t="s">
        <v>133</v>
      </c>
      <c r="H18" s="7" t="s">
        <v>134</v>
      </c>
      <c r="I18" s="6" t="s">
        <v>135</v>
      </c>
      <c r="J18" s="4" t="s">
        <v>45</v>
      </c>
      <c r="K18" s="6" t="s">
        <v>136</v>
      </c>
      <c r="L18" s="6" t="s">
        <v>137</v>
      </c>
      <c r="M18" s="8" t="n">
        <v>40000</v>
      </c>
      <c r="N18" s="8" t="n">
        <v>90000</v>
      </c>
      <c r="O18" s="9" t="s">
        <v>30</v>
      </c>
      <c r="P18" s="10"/>
      <c r="Q18" s="9"/>
    </row>
    <row r="19" customFormat="false" ht="91.5" hidden="false" customHeight="true" outlineLevel="0" collapsed="false">
      <c r="A19" s="4" t="n">
        <v>15</v>
      </c>
      <c r="B19" s="4" t="s">
        <v>113</v>
      </c>
      <c r="C19" s="5" t="s">
        <v>138</v>
      </c>
      <c r="D19" s="6" t="s">
        <v>40</v>
      </c>
      <c r="E19" s="6" t="s">
        <v>139</v>
      </c>
      <c r="F19" s="6" t="s">
        <v>140</v>
      </c>
      <c r="G19" s="6" t="s">
        <v>24</v>
      </c>
      <c r="H19" s="7" t="s">
        <v>141</v>
      </c>
      <c r="I19" s="6" t="s">
        <v>142</v>
      </c>
      <c r="J19" s="4" t="s">
        <v>27</v>
      </c>
      <c r="K19" s="6" t="s">
        <v>143</v>
      </c>
      <c r="L19" s="6" t="s">
        <v>144</v>
      </c>
      <c r="M19" s="8" t="n">
        <v>50000</v>
      </c>
      <c r="N19" s="8" t="n">
        <v>110000</v>
      </c>
      <c r="O19" s="9" t="s">
        <v>30</v>
      </c>
      <c r="P19" s="10"/>
      <c r="Q19" s="9"/>
    </row>
    <row r="20" customFormat="false" ht="91.5" hidden="false" customHeight="true" outlineLevel="0" collapsed="false">
      <c r="A20" s="4" t="n">
        <v>16</v>
      </c>
      <c r="B20" s="4" t="s">
        <v>113</v>
      </c>
      <c r="C20" s="5" t="s">
        <v>145</v>
      </c>
      <c r="D20" s="6" t="s">
        <v>40</v>
      </c>
      <c r="E20" s="6" t="s">
        <v>146</v>
      </c>
      <c r="F20" s="6" t="s">
        <v>147</v>
      </c>
      <c r="G20" s="6" t="s">
        <v>24</v>
      </c>
      <c r="H20" s="7" t="s">
        <v>148</v>
      </c>
      <c r="I20" s="6" t="s">
        <v>149</v>
      </c>
      <c r="J20" s="4" t="s">
        <v>150</v>
      </c>
      <c r="K20" s="6" t="s">
        <v>151</v>
      </c>
      <c r="L20" s="6" t="s">
        <v>152</v>
      </c>
      <c r="M20" s="8" t="n">
        <v>35000</v>
      </c>
      <c r="N20" s="8" t="n">
        <v>80000</v>
      </c>
      <c r="O20" s="9" t="s">
        <v>30</v>
      </c>
      <c r="P20" s="10"/>
      <c r="Q20" s="9"/>
    </row>
    <row r="21" customFormat="false" ht="91.5" hidden="false" customHeight="true" outlineLevel="0" collapsed="false">
      <c r="A21" s="4" t="n">
        <v>17</v>
      </c>
      <c r="B21" s="4" t="s">
        <v>113</v>
      </c>
      <c r="C21" s="5" t="s">
        <v>153</v>
      </c>
      <c r="D21" s="6" t="s">
        <v>154</v>
      </c>
      <c r="E21" s="6" t="s">
        <v>155</v>
      </c>
      <c r="F21" s="6" t="s">
        <v>156</v>
      </c>
      <c r="G21" s="6" t="s">
        <v>24</v>
      </c>
      <c r="H21" s="7" t="s">
        <v>157</v>
      </c>
      <c r="I21" s="6" t="s">
        <v>158</v>
      </c>
      <c r="J21" s="4" t="s">
        <v>27</v>
      </c>
      <c r="K21" s="6" t="s">
        <v>159</v>
      </c>
      <c r="L21" s="6" t="s">
        <v>160</v>
      </c>
      <c r="M21" s="8" t="n">
        <v>50000</v>
      </c>
      <c r="N21" s="8" t="n">
        <v>110000</v>
      </c>
      <c r="O21" s="9" t="s">
        <v>30</v>
      </c>
      <c r="P21" s="10"/>
      <c r="Q21" s="9"/>
    </row>
    <row r="22" customFormat="false" ht="91.5" hidden="false" customHeight="true" outlineLevel="0" collapsed="false">
      <c r="A22" s="4" t="n">
        <v>18</v>
      </c>
      <c r="B22" s="4" t="s">
        <v>113</v>
      </c>
      <c r="C22" s="5" t="s">
        <v>161</v>
      </c>
      <c r="D22" s="6" t="s">
        <v>115</v>
      </c>
      <c r="E22" s="6" t="s">
        <v>162</v>
      </c>
      <c r="F22" s="6" t="s">
        <v>163</v>
      </c>
      <c r="G22" s="6" t="s">
        <v>24</v>
      </c>
      <c r="H22" s="7" t="s">
        <v>164</v>
      </c>
      <c r="I22" s="6" t="s">
        <v>165</v>
      </c>
      <c r="J22" s="4" t="s">
        <v>27</v>
      </c>
      <c r="K22" s="6" t="s">
        <v>166</v>
      </c>
      <c r="L22" s="6" t="s">
        <v>167</v>
      </c>
      <c r="M22" s="8" t="n">
        <v>50000</v>
      </c>
      <c r="N22" s="8" t="n">
        <v>110000</v>
      </c>
      <c r="O22" s="9" t="s">
        <v>30</v>
      </c>
      <c r="P22" s="10"/>
      <c r="Q22" s="9"/>
    </row>
    <row r="23" customFormat="false" ht="91.5" hidden="false" customHeight="true" outlineLevel="0" collapsed="false">
      <c r="A23" s="4" t="n">
        <v>19</v>
      </c>
      <c r="B23" s="4" t="s">
        <v>113</v>
      </c>
      <c r="C23" s="5" t="s">
        <v>168</v>
      </c>
      <c r="D23" s="6" t="s">
        <v>32</v>
      </c>
      <c r="E23" s="6" t="s">
        <v>169</v>
      </c>
      <c r="F23" s="6" t="s">
        <v>170</v>
      </c>
      <c r="G23" s="6" t="s">
        <v>24</v>
      </c>
      <c r="H23" s="7" t="s">
        <v>171</v>
      </c>
      <c r="I23" s="6" t="s">
        <v>172</v>
      </c>
      <c r="J23" s="4" t="s">
        <v>150</v>
      </c>
      <c r="K23" s="6" t="s">
        <v>173</v>
      </c>
      <c r="L23" s="6" t="s">
        <v>174</v>
      </c>
      <c r="M23" s="8" t="n">
        <v>35000</v>
      </c>
      <c r="N23" s="8" t="n">
        <v>80000</v>
      </c>
      <c r="O23" s="9" t="s">
        <v>30</v>
      </c>
      <c r="P23" s="10"/>
      <c r="Q23" s="9"/>
    </row>
    <row r="24" customFormat="false" ht="91.5" hidden="false" customHeight="true" outlineLevel="0" collapsed="false">
      <c r="A24" s="4" t="n">
        <v>20</v>
      </c>
      <c r="B24" s="4" t="s">
        <v>113</v>
      </c>
      <c r="C24" s="5" t="s">
        <v>175</v>
      </c>
      <c r="D24" s="6" t="s">
        <v>176</v>
      </c>
      <c r="E24" s="6" t="s">
        <v>177</v>
      </c>
      <c r="F24" s="6" t="s">
        <v>178</v>
      </c>
      <c r="G24" s="6" t="s">
        <v>24</v>
      </c>
      <c r="H24" s="7" t="s">
        <v>179</v>
      </c>
      <c r="I24" s="6" t="s">
        <v>180</v>
      </c>
      <c r="J24" s="4" t="s">
        <v>27</v>
      </c>
      <c r="K24" s="6" t="s">
        <v>181</v>
      </c>
      <c r="L24" s="6" t="s">
        <v>182</v>
      </c>
      <c r="M24" s="8" t="n">
        <v>50000</v>
      </c>
      <c r="N24" s="8" t="n">
        <v>100000</v>
      </c>
      <c r="O24" s="9" t="s">
        <v>30</v>
      </c>
      <c r="P24" s="10"/>
      <c r="Q24" s="9"/>
    </row>
    <row r="25" customFormat="false" ht="15" hidden="false" customHeight="false" outlineLevel="0" collapsed="false">
      <c r="L25" s="11" t="s">
        <v>183</v>
      </c>
      <c r="M25" s="12" t="n">
        <f aca="false">SUM(M5:M24)</f>
        <v>1195000</v>
      </c>
      <c r="N25" s="12" t="n">
        <f aca="false">SUM(N5:N24)</f>
        <v>2510000</v>
      </c>
    </row>
    <row r="27" customFormat="false" ht="15" hidden="false" customHeight="false" outlineLevel="0" collapsed="false">
      <c r="A27" s="13" t="s">
        <v>184</v>
      </c>
    </row>
    <row r="28" customFormat="false" ht="15" hidden="false" customHeight="false" outlineLevel="0" collapsed="false">
      <c r="A28" s="14" t="s">
        <v>185</v>
      </c>
    </row>
    <row r="29" customFormat="false" ht="15" hidden="false" customHeight="false" outlineLevel="0" collapsed="false">
      <c r="A29" s="14" t="s">
        <v>186</v>
      </c>
    </row>
    <row r="30" customFormat="false" ht="15" hidden="false" customHeight="false" outlineLevel="0" collapsed="false">
      <c r="A30" s="14" t="s">
        <v>187</v>
      </c>
    </row>
    <row r="31" customFormat="false" ht="15" hidden="false" customHeight="false" outlineLevel="0" collapsed="false">
      <c r="A31" s="14" t="s">
        <v>188</v>
      </c>
    </row>
  </sheetData>
  <autoFilter ref="A4:Q24"/>
  <mergeCells count="1">
    <mergeCell ref="A2:Q2"/>
  </mergeCells>
  <conditionalFormatting sqref="A5:Q24">
    <cfRule type="expression" priority="2" aboveAverage="0" equalAverage="0" bottom="0" percent="0" rank="0" text="" dxfId="8">
      <formula>$O5="Сделка"</formula>
    </cfRule>
    <cfRule type="expression" priority="3" aboveAverage="0" equalAverage="0" bottom="0" percent="0" rank="0" text="" dxfId="9">
      <formula>$O5="Отказ"</formula>
    </cfRule>
  </conditionalFormatting>
  <conditionalFormatting sqref="B5:B24">
    <cfRule type="cellIs" priority="4" operator="equal" aboveAverage="0" equalAverage="0" bottom="0" percent="0" rank="0" text="" dxfId="10">
      <formula>"A"</formula>
    </cfRule>
  </conditionalFormatting>
  <dataValidations count="1">
    <dataValidation allowBlank="true" errorStyle="stop" operator="between" showDropDown="false" showErrorMessage="false" showInputMessage="false" sqref="O5:O24" type="list">
      <formula1>"Не связывался,Написал,Ответил,Созвон,КП отправлено,Сделка,Отказ"</formula1>
      <formula2>0</formula2>
    </dataValidation>
  </dataValidations>
  <hyperlinks>
    <hyperlink ref="H5" r:id="rId1" display="https://taplink.cc/cvetochniy_dom23"/>
    <hyperlink ref="H6" r:id="rId2" display="https://taplink.cc/nadi_sugarlife"/>
    <hyperlink ref="H7" r:id="rId3" display="https://taplink.cc/neplach"/>
    <hyperlink ref="H8" r:id="rId4" display="https://taplink.cc/buffetkazan"/>
    <hyperlink ref="H9" r:id="rId5" display="https://bebetter.taplink.ws/"/>
    <hyperlink ref="H10" r:id="rId6" display="https://colorfresh.taplink.ws/"/>
    <hyperlink ref="H11" r:id="rId7" display="https://taplink.cc/pointcosmo"/>
    <hyperlink ref="H12" r:id="rId8" display="https://taplink.cc/kudribrovi_ekb"/>
    <hyperlink ref="H13" r:id="rId9" display="https://taplink.cc/sportissimospb"/>
    <hyperlink ref="H14" r:id="rId10" display="https://taplink.cc/electro_epil_nn"/>
    <hyperlink ref="H15" r:id="rId11" display="https://taplink.cc/eville_studio/p/8defa0/"/>
    <hyperlink ref="H16" r:id="rId12" display="https://taplink.cc/podolog_garchenko"/>
    <hyperlink ref="H17" r:id="rId13" display="https://prostoyogafit.taplink.ws/"/>
    <hyperlink ref="H18" r:id="rId14" display="https://taplink.cc/kosmotime.rnd"/>
    <hyperlink ref="H19" r:id="rId15" display="https://pryanichkiottanechki.taplink.ws/"/>
    <hyperlink ref="H20" r:id="rId16" display="https://taplink.cc/yesnail.r"/>
    <hyperlink ref="H21" r:id="rId17" display="https://cafemirra.taplink.ws/"/>
    <hyperlink ref="H22" r:id="rId18" display="https://taplink.cc/dinamica_music_nsk"/>
    <hyperlink ref="H23" r:id="rId19" display="https://chebykinavalentina.taplink.ws/"/>
    <hyperlink ref="H24" r:id="rId20" display="https://taplink.cc/stydia_gljanec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4"/>
    <col collapsed="false" customWidth="true" hidden="false" outlineLevel="0" max="3" min="3" style="0" width="18"/>
  </cols>
  <sheetData>
    <row r="1" customFormat="false" ht="17.35" hidden="false" customHeight="false" outlineLevel="0" collapsed="false">
      <c r="A1" s="1" t="s">
        <v>189</v>
      </c>
    </row>
    <row r="3" customFormat="false" ht="15" hidden="false" customHeight="false" outlineLevel="0" collapsed="false">
      <c r="A3" s="15" t="s">
        <v>16</v>
      </c>
      <c r="B3" s="15" t="s">
        <v>190</v>
      </c>
      <c r="C3" s="15" t="s">
        <v>14</v>
      </c>
    </row>
    <row r="4" customFormat="false" ht="15" hidden="false" customHeight="false" outlineLevel="0" collapsed="false">
      <c r="A4" s="16" t="s">
        <v>30</v>
      </c>
      <c r="B4" s="16" t="n">
        <f aca="false">COUNTIF(Клиенты!$O$5:$O$24,A4)</f>
        <v>20</v>
      </c>
      <c r="C4" s="17" t="n">
        <f aca="false">SUMIF(Клиенты!$O$5:$O$24,A4,Клиенты!$M$5:$M$24)</f>
        <v>1195000</v>
      </c>
    </row>
    <row r="5" customFormat="false" ht="15" hidden="false" customHeight="false" outlineLevel="0" collapsed="false">
      <c r="A5" s="16" t="s">
        <v>191</v>
      </c>
      <c r="B5" s="16" t="n">
        <f aca="false">COUNTIF(Клиенты!$O$5:$O$24,A5)</f>
        <v>0</v>
      </c>
      <c r="C5" s="17" t="n">
        <f aca="false">SUMIF(Клиенты!$O$5:$O$24,A5,Клиенты!$M$5:$M$24)</f>
        <v>0</v>
      </c>
    </row>
    <row r="6" customFormat="false" ht="15" hidden="false" customHeight="false" outlineLevel="0" collapsed="false">
      <c r="A6" s="16" t="s">
        <v>192</v>
      </c>
      <c r="B6" s="16" t="n">
        <f aca="false">COUNTIF(Клиенты!$O$5:$O$24,A6)</f>
        <v>0</v>
      </c>
      <c r="C6" s="17" t="n">
        <f aca="false">SUMIF(Клиенты!$O$5:$O$24,A6,Клиенты!$M$5:$M$24)</f>
        <v>0</v>
      </c>
    </row>
    <row r="7" customFormat="false" ht="15" hidden="false" customHeight="false" outlineLevel="0" collapsed="false">
      <c r="A7" s="16" t="s">
        <v>193</v>
      </c>
      <c r="B7" s="16" t="n">
        <f aca="false">COUNTIF(Клиенты!$O$5:$O$24,A7)</f>
        <v>0</v>
      </c>
      <c r="C7" s="17" t="n">
        <f aca="false">SUMIF(Клиенты!$O$5:$O$24,A7,Клиенты!$M$5:$M$24)</f>
        <v>0</v>
      </c>
    </row>
    <row r="8" customFormat="false" ht="15" hidden="false" customHeight="false" outlineLevel="0" collapsed="false">
      <c r="A8" s="16" t="s">
        <v>194</v>
      </c>
      <c r="B8" s="16" t="n">
        <f aca="false">COUNTIF(Клиенты!$O$5:$O$24,A8)</f>
        <v>0</v>
      </c>
      <c r="C8" s="17" t="n">
        <f aca="false">SUMIF(Клиенты!$O$5:$O$24,A8,Клиенты!$M$5:$M$24)</f>
        <v>0</v>
      </c>
    </row>
    <row r="9" customFormat="false" ht="15" hidden="false" customHeight="false" outlineLevel="0" collapsed="false">
      <c r="A9" s="16" t="s">
        <v>195</v>
      </c>
      <c r="B9" s="16" t="n">
        <f aca="false">COUNTIF(Клиенты!$O$5:$O$24,A9)</f>
        <v>0</v>
      </c>
      <c r="C9" s="17" t="n">
        <f aca="false">SUMIF(Клиенты!$O$5:$O$24,A9,Клиенты!$M$5:$M$24)</f>
        <v>0</v>
      </c>
    </row>
    <row r="10" customFormat="false" ht="15" hidden="false" customHeight="false" outlineLevel="0" collapsed="false">
      <c r="A10" s="16" t="s">
        <v>196</v>
      </c>
      <c r="B10" s="16" t="n">
        <f aca="false">COUNTIF(Клиенты!$O$5:$O$24,A10)</f>
        <v>0</v>
      </c>
      <c r="C10" s="17" t="n">
        <f aca="false">SUMIF(Клиенты!$O$5:$O$24,A10,Клиенты!$M$5:$M$24)</f>
        <v>0</v>
      </c>
    </row>
    <row r="11" customFormat="false" ht="15" hidden="false" customHeight="false" outlineLevel="0" collapsed="false">
      <c r="A11" s="18" t="s">
        <v>197</v>
      </c>
      <c r="B11" s="18" t="n">
        <f aca="false">SUM(B4:B10)</f>
        <v>20</v>
      </c>
      <c r="C11" s="12" t="n">
        <f aca="false">SUM(C4:C10)</f>
        <v>1195000</v>
      </c>
    </row>
    <row r="12" customFormat="false" ht="15" hidden="false" customHeight="false" outlineLevel="0" collapsed="false">
      <c r="A12" s="16" t="s">
        <v>198</v>
      </c>
      <c r="B12" s="19" t="n">
        <f aca="false">IF(B11=0,0,B10/B11)</f>
        <v>0</v>
      </c>
    </row>
    <row r="14" customFormat="false" ht="15" hidden="false" customHeight="false" outlineLevel="0" collapsed="false">
      <c r="A14" s="15" t="s">
        <v>11</v>
      </c>
      <c r="B14" s="15" t="s">
        <v>190</v>
      </c>
    </row>
    <row r="15" customFormat="false" ht="15" hidden="false" customHeight="false" outlineLevel="0" collapsed="false">
      <c r="A15" s="16" t="s">
        <v>27</v>
      </c>
      <c r="B15" s="16" t="n">
        <f aca="false">COUNTIF(Клиенты!$J$5:$J$24,A15)</f>
        <v>15</v>
      </c>
    </row>
    <row r="16" customFormat="false" ht="15" hidden="false" customHeight="false" outlineLevel="0" collapsed="false">
      <c r="A16" s="16" t="s">
        <v>150</v>
      </c>
      <c r="B16" s="16" t="n">
        <f aca="false">COUNTIF(Клиенты!$J$5:$J$24,A16)</f>
        <v>2</v>
      </c>
    </row>
    <row r="17" customFormat="false" ht="15" hidden="false" customHeight="false" outlineLevel="0" collapsed="false">
      <c r="A17" s="16" t="s">
        <v>45</v>
      </c>
      <c r="B17" s="16" t="n">
        <f aca="false">COUNTIF(Клиенты!$J$5:$J$24,A17)</f>
        <v>3</v>
      </c>
    </row>
    <row r="19" customFormat="false" ht="15" hidden="false" customHeight="false" outlineLevel="0" collapsed="false">
      <c r="A19" s="15" t="s">
        <v>5</v>
      </c>
      <c r="B19" s="15" t="s">
        <v>190</v>
      </c>
    </row>
    <row r="20" customFormat="false" ht="15" hidden="false" customHeight="false" outlineLevel="0" collapsed="false">
      <c r="A20" s="16" t="s">
        <v>21</v>
      </c>
      <c r="B20" s="16" t="n">
        <f aca="false">COUNTIF(Клиенты!$D$5:$D$24,A20)</f>
        <v>1</v>
      </c>
    </row>
    <row r="21" customFormat="false" ht="15" hidden="false" customHeight="false" outlineLevel="0" collapsed="false">
      <c r="A21" s="16" t="s">
        <v>32</v>
      </c>
      <c r="B21" s="16" t="n">
        <f aca="false">COUNTIF(Клиенты!$D$5:$D$24,A21)</f>
        <v>3</v>
      </c>
    </row>
    <row r="22" customFormat="false" ht="15" hidden="false" customHeight="false" outlineLevel="0" collapsed="false">
      <c r="A22" s="16" t="s">
        <v>40</v>
      </c>
      <c r="B22" s="16" t="n">
        <f aca="false">COUNTIF(Клиенты!$D$5:$D$24,A22)</f>
        <v>6</v>
      </c>
    </row>
    <row r="23" customFormat="false" ht="15" hidden="false" customHeight="false" outlineLevel="0" collapsed="false">
      <c r="A23" s="16" t="s">
        <v>49</v>
      </c>
      <c r="B23" s="16" t="n">
        <f aca="false">COUNTIF(Клиенты!$D$5:$D$24,A23)</f>
        <v>2</v>
      </c>
    </row>
    <row r="24" customFormat="false" ht="15" hidden="false" customHeight="false" outlineLevel="0" collapsed="false">
      <c r="A24" s="16" t="s">
        <v>80</v>
      </c>
      <c r="B24" s="16" t="n">
        <f aca="false">COUNTIF(Клиенты!$D$5:$D$24,A24)</f>
        <v>2</v>
      </c>
    </row>
    <row r="25" customFormat="false" ht="15" hidden="false" customHeight="false" outlineLevel="0" collapsed="false">
      <c r="A25" s="16" t="s">
        <v>97</v>
      </c>
      <c r="B25" s="16" t="n">
        <f aca="false">COUNTIF(Клиенты!$D$5:$D$24,A25)</f>
        <v>1</v>
      </c>
    </row>
    <row r="26" customFormat="false" ht="15" hidden="false" customHeight="false" outlineLevel="0" collapsed="false">
      <c r="A26" s="16" t="s">
        <v>115</v>
      </c>
      <c r="B26" s="16" t="n">
        <f aca="false">COUNTIF(Клиенты!$D$5:$D$24,A26)</f>
        <v>2</v>
      </c>
    </row>
    <row r="27" customFormat="false" ht="15" hidden="false" customHeight="false" outlineLevel="0" collapsed="false">
      <c r="A27" s="16" t="s">
        <v>130</v>
      </c>
      <c r="B27" s="16" t="n">
        <f aca="false">COUNTIF(Клиенты!$D$5:$D$24,A27)</f>
        <v>1</v>
      </c>
    </row>
    <row r="28" customFormat="false" ht="15" hidden="false" customHeight="false" outlineLevel="0" collapsed="false">
      <c r="A28" s="16" t="s">
        <v>154</v>
      </c>
      <c r="B28" s="16" t="n">
        <f aca="false">COUNTIF(Клиенты!$D$5:$D$24,A28)</f>
        <v>1</v>
      </c>
    </row>
    <row r="29" customFormat="false" ht="15" hidden="false" customHeight="false" outlineLevel="0" collapsed="false">
      <c r="A29" s="16" t="s">
        <v>176</v>
      </c>
      <c r="B29" s="16" t="n">
        <f aca="false">COUNTIF(Клиенты!$D$5:$D$24,A29)</f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8"/>
    <col collapsed="false" customWidth="true" hidden="false" outlineLevel="0" max="3" min="3" style="0" width="26"/>
    <col collapsed="false" customWidth="true" hidden="false" outlineLevel="0" max="4" min="4" style="0" width="38"/>
    <col collapsed="false" customWidth="true" hidden="false" outlineLevel="0" max="5" min="5" style="0" width="50"/>
  </cols>
  <sheetData>
    <row r="1" customFormat="false" ht="17.35" hidden="false" customHeight="false" outlineLevel="0" collapsed="false">
      <c r="A1" s="1" t="s">
        <v>199</v>
      </c>
    </row>
    <row r="3" customFormat="false" ht="15" hidden="false" customHeight="false" outlineLevel="0" collapsed="false">
      <c r="A3" s="15" t="s">
        <v>4</v>
      </c>
      <c r="B3" s="15" t="s">
        <v>5</v>
      </c>
      <c r="C3" s="15" t="s">
        <v>6</v>
      </c>
      <c r="D3" s="15" t="s">
        <v>200</v>
      </c>
      <c r="E3" s="15" t="s">
        <v>201</v>
      </c>
    </row>
    <row r="4" customFormat="false" ht="23.85" hidden="false" customHeight="false" outlineLevel="0" collapsed="false">
      <c r="A4" s="6" t="s">
        <v>202</v>
      </c>
      <c r="B4" s="6" t="s">
        <v>115</v>
      </c>
      <c r="C4" s="6" t="s">
        <v>203</v>
      </c>
      <c r="D4" s="7" t="s">
        <v>204</v>
      </c>
      <c r="E4" s="6" t="s">
        <v>205</v>
      </c>
    </row>
    <row r="5" customFormat="false" ht="23.85" hidden="false" customHeight="false" outlineLevel="0" collapsed="false">
      <c r="A5" s="6" t="s">
        <v>206</v>
      </c>
      <c r="B5" s="6" t="s">
        <v>115</v>
      </c>
      <c r="C5" s="6" t="s">
        <v>207</v>
      </c>
      <c r="D5" s="7" t="s">
        <v>208</v>
      </c>
      <c r="E5" s="6" t="s">
        <v>209</v>
      </c>
    </row>
    <row r="6" customFormat="false" ht="15" hidden="false" customHeight="false" outlineLevel="0" collapsed="false">
      <c r="A6" s="6" t="s">
        <v>210</v>
      </c>
      <c r="B6" s="6" t="s">
        <v>211</v>
      </c>
      <c r="C6" s="6" t="s">
        <v>212</v>
      </c>
      <c r="D6" s="7" t="s">
        <v>213</v>
      </c>
      <c r="E6" s="6" t="s">
        <v>214</v>
      </c>
    </row>
    <row r="7" customFormat="false" ht="15" hidden="false" customHeight="false" outlineLevel="0" collapsed="false">
      <c r="A7" s="6" t="s">
        <v>215</v>
      </c>
      <c r="B7" s="6" t="s">
        <v>211</v>
      </c>
      <c r="C7" s="6" t="s">
        <v>216</v>
      </c>
      <c r="D7" s="7" t="s">
        <v>217</v>
      </c>
      <c r="E7" s="6" t="s">
        <v>218</v>
      </c>
    </row>
    <row r="8" customFormat="false" ht="15" hidden="false" customHeight="false" outlineLevel="0" collapsed="false">
      <c r="A8" s="6" t="s">
        <v>219</v>
      </c>
      <c r="B8" s="6" t="s">
        <v>40</v>
      </c>
      <c r="C8" s="6" t="s">
        <v>216</v>
      </c>
      <c r="D8" s="7" t="s">
        <v>220</v>
      </c>
      <c r="E8" s="6" t="s">
        <v>221</v>
      </c>
    </row>
  </sheetData>
  <hyperlinks>
    <hyperlink ref="D4" r:id="rId1" display="https://glinansk.taplink.ws/"/>
    <hyperlink ref="D5" r:id="rId2" display="https://taplink.cc/terrakotnsk"/>
    <hyperlink ref="D6" r:id="rId3" display="https://dabrobarbershop.taplink.ws/"/>
    <hyperlink ref="D7" r:id="rId4" display="https://sharingdream.taplink.ws/"/>
    <hyperlink ref="D8" r:id="rId5" display="https://taplink.cc/nostalgia_coffee_mos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2026-10-07T14:32:34Z</dcterms:created>
  <dc:creator>openpyxl</dc:creator>
  <dc:description/>
  <dc:language>en-US</dc:language>
  <cp:lastModifiedBy/>
  <dcterms:modified xsi:type="dcterms:W3CDTF">2026-10-07T14:32:34Z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